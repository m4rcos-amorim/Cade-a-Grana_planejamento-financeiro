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9A7FDC14-48EC-463A-BF9D-C4B6BAD56155}" xr6:coauthVersionLast="47" xr6:coauthVersionMax="47" xr10:uidLastSave="{00000000-0000-0000-0000-000000000000}"/>
  <bookViews>
    <workbookView xWindow="-105" yWindow="0" windowWidth="19410" windowHeight="15585" xr2:uid="{2F06AFC8-A85D-46C7-8CAB-70053986EE55}"/>
  </bookViews>
  <sheets>
    <sheet name="Cade a grana" sheetId="2" r:id="rId1"/>
    <sheet name="Planilha1" sheetId="1" r:id="rId2"/>
  </sheets>
  <definedNames>
    <definedName name="Anos">'Cade a grana'!$E$15</definedName>
    <definedName name="aporte_mensal">'Cade a grana'!$E$14</definedName>
    <definedName name="inflacao_media">'Cade a grana'!$G$13</definedName>
    <definedName name="patrimonio_acumulado">'Cade a grana'!$E$17</definedName>
    <definedName name="patrimonio_inicial">'Cade a grana'!$E$13</definedName>
    <definedName name="rendimento_mensal">'Cade a grana'!$E$16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2" l="1"/>
  <c r="E17" i="2"/>
  <c r="F26" i="2" l="1"/>
  <c r="F25" i="2"/>
  <c r="F24" i="2"/>
  <c r="F23" i="2"/>
  <c r="D26" i="2"/>
  <c r="E26" i="2" s="1"/>
  <c r="D25" i="2"/>
  <c r="E25" i="2" s="1"/>
  <c r="D24" i="2"/>
  <c r="E24" i="2" s="1"/>
  <c r="D23" i="2"/>
  <c r="E23" i="2" s="1"/>
  <c r="D22" i="2"/>
  <c r="E22" i="2" s="1"/>
  <c r="F22" i="2" s="1"/>
</calcChain>
</file>

<file path=xl/sharedStrings.xml><?xml version="1.0" encoding="utf-8"?>
<sst xmlns="http://schemas.openxmlformats.org/spreadsheetml/2006/main" count="17" uniqueCount="17">
  <si>
    <t>INVESTIMENTO MENSAL</t>
  </si>
  <si>
    <t>Inflação Média Anual</t>
  </si>
  <si>
    <t>Patrimônio inicial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</si>
  <si>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</si>
  <si>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</si>
  <si>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</si>
  <si>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</si>
  <si>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</si>
  <si>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</si>
  <si>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Valor</t>
  </si>
  <si>
    <t>Dividendo mensal</t>
  </si>
  <si>
    <t>Quanto em 2 anos?</t>
  </si>
  <si>
    <t>Quanto em 5 anos?</t>
  </si>
  <si>
    <t>Quanto em 10 anos?</t>
  </si>
  <si>
    <t>Quanto em 20 anos?</t>
  </si>
  <si>
    <t>Quanto em 30 anos?</t>
  </si>
  <si>
    <t>Dividendo mensal (descotada a Inflação)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</si>
</sst>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%"/>
    <numFmt numFmtId="165" formatCode="_-&quot;R$&quot;\ * #,##0.000_-;\-&quot;R$&quot;\ * #,##0.000_-;_-&quot;R$&quot;\ * &quot;-&quot;???_-;_-@_-"/>
    <numFmt numFmtId="166" formatCode="_-&quot;R$&quot;\ * #,##0.00_-;\-&quot;R$&quot;\ * #,##0.00_-;_-&quot;R$&quot;\ * &quot;-&quot;?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E00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600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double">
        <color indexed="64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double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double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ouble">
        <color indexed="64"/>
      </left>
      <right style="thin">
        <color theme="2" tint="-0.24994659260841701"/>
      </right>
      <top style="thin">
        <color theme="2" tint="-0.24994659260841701"/>
      </top>
      <bottom style="double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double">
        <color indexed="64"/>
      </bottom>
      <diagonal/>
    </border>
    <border>
      <left style="thin">
        <color theme="2" tint="-0.24994659260841701"/>
      </left>
      <right style="double">
        <color indexed="64"/>
      </right>
      <top style="thin">
        <color theme="2" tint="-0.2499465926084170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double">
        <color auto="1"/>
      </right>
      <top/>
      <bottom style="thin">
        <color theme="2" tint="-9.9948118533890809E-2"/>
      </bottom>
      <diagonal/>
    </border>
    <border>
      <left style="double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double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double">
        <color auto="1"/>
      </left>
      <right style="thin">
        <color theme="2" tint="-9.9948118533890809E-2"/>
      </right>
      <top style="thin">
        <color theme="2" tint="-9.9948118533890809E-2"/>
      </top>
      <bottom style="double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auto="1"/>
      </bottom>
      <diagonal/>
    </border>
    <border>
      <left style="thin">
        <color theme="2" tint="-9.9948118533890809E-2"/>
      </left>
      <right style="double">
        <color auto="1"/>
      </right>
      <top style="thin">
        <color theme="2" tint="-9.9948118533890809E-2"/>
      </top>
      <bottom style="double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0" fontId="0" fillId="0" borderId="8" xfId="2" applyNumberFormat="1" applyFont="1" applyBorder="1" applyAlignment="1" applyProtection="1">
      <alignment horizontal="center"/>
      <protection locked="0"/>
    </xf>
    <xf numFmtId="10" fontId="0" fillId="0" borderId="9" xfId="2" applyNumberFormat="1" applyFont="1" applyBorder="1" applyAlignment="1" applyProtection="1">
      <alignment horizontal="center"/>
      <protection locked="0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44" fontId="0" fillId="4" borderId="13" xfId="1" applyFont="1" applyFill="1" applyBorder="1" applyAlignment="1" applyProtection="1"/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165" fontId="0" fillId="0" borderId="0" xfId="0" applyNumberFormat="1"/>
    <xf numFmtId="0" fontId="0" fillId="0" borderId="22" xfId="0" applyBorder="1"/>
    <xf numFmtId="0" fontId="0" fillId="0" borderId="23" xfId="0" applyBorder="1"/>
    <xf numFmtId="44" fontId="0" fillId="0" borderId="23" xfId="1" applyFont="1" applyBorder="1" applyAlignment="1"/>
    <xf numFmtId="166" fontId="0" fillId="0" borderId="23" xfId="0" applyNumberFormat="1" applyBorder="1" applyAlignment="1">
      <alignment horizontal="center"/>
    </xf>
    <xf numFmtId="165" fontId="0" fillId="0" borderId="24" xfId="0" applyNumberFormat="1" applyBorder="1"/>
    <xf numFmtId="0" fontId="0" fillId="0" borderId="25" xfId="0" applyBorder="1"/>
    <xf numFmtId="0" fontId="0" fillId="0" borderId="26" xfId="0" applyBorder="1"/>
    <xf numFmtId="44" fontId="0" fillId="0" borderId="26" xfId="1" applyFont="1" applyBorder="1" applyAlignment="1"/>
    <xf numFmtId="166" fontId="0" fillId="0" borderId="26" xfId="0" applyNumberFormat="1" applyBorder="1" applyAlignment="1">
      <alignment horizontal="center"/>
    </xf>
    <xf numFmtId="165" fontId="0" fillId="0" borderId="27" xfId="0" applyNumberFormat="1" applyBorder="1"/>
    <xf numFmtId="0" fontId="0" fillId="0" borderId="28" xfId="0" applyBorder="1"/>
    <xf numFmtId="0" fontId="0" fillId="0" borderId="29" xfId="0" applyBorder="1"/>
    <xf numFmtId="44" fontId="0" fillId="0" borderId="29" xfId="1" applyFont="1" applyBorder="1" applyAlignment="1"/>
    <xf numFmtId="166" fontId="0" fillId="0" borderId="29" xfId="0" applyNumberFormat="1" applyBorder="1" applyAlignment="1">
      <alignment horizontal="center"/>
    </xf>
    <xf numFmtId="165" fontId="0" fillId="0" borderId="30" xfId="0" applyNumberFormat="1" applyBorder="1"/>
    <xf numFmtId="44" fontId="0" fillId="0" borderId="7" xfId="1" applyFont="1" applyBorder="1" applyAlignment="1" applyProtection="1">
      <protection locked="0"/>
    </xf>
    <xf numFmtId="44" fontId="0" fillId="0" borderId="13" xfId="1" applyFont="1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164" fontId="0" fillId="0" borderId="13" xfId="2" applyNumberFormat="1" applyFont="1" applyBorder="1" applyAlignment="1" applyProtection="1">
      <protection locked="0"/>
    </xf>
    <xf numFmtId="44" fontId="0" fillId="4" borderId="18" xfId="1" applyFont="1" applyFill="1" applyBorder="1" applyAlignment="1" applyProtection="1"/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469814</xdr:colOff>
      <xdr:row>0</xdr:row>
      <xdr:rowOff>6436</xdr:rowOff>
    </xdr:from>
    <xdr:to>
      <xdr:col>6</xdr:col>
      <xdr:colOff>907449</xdr:colOff>
      <xdr:row>7</xdr:row>
      <xdr:rowOff>65484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FC761C-4C01-4721-89AA-B7BA3BDC4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r="3827" b="19411"/>
        <a:stretch>
          <a:fillRect/>
        </a:stretch>
      </xdr:blipFill>
      <xdr:spPr>
        <a:xfrm>
          <a:off x="469814" y="6436"/>
          <a:ext cx="6255608" cy="1410568"/>
        </a:xfrm>
        <a:prstGeom prst="roundRect">
          <a:avLst>
            <a:gd name="adj" fmla="val 11111"/>
          </a:avLst>
        </a:prstGeom>
        <a:ln w="190500" cap="rnd">
          <a:solidFill>
            <a:schemeClr val="bg1"/>
          </a:solidFill>
          <a:prstDash val="solid"/>
        </a:ln>
        <a:effectLst>
          <a:outerShdw blurRad="101600" dist="50800" dir="7200000" algn="tl" rotWithShape="0">
            <a:srgbClr val="000000">
              <a:alpha val="45000"/>
            </a:srgbClr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FFFFFF"/>
          </a:extrusion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D51E-1935-4F25-B4A3-FA39DEFE0BBA}">
  <dimension ref="B1:H28"/>
  <sheetViews>
    <sheetView showGridLines="0" tabSelected="1" zoomScale="112" zoomScaleNormal="112" workbookViewId="0">
      <selection activeCell="H1" sqref="H1"/>
    </sheetView>
  </sheetViews>
  <sheetFormatPr defaultColWidth="0" defaultRowHeight="15" zeroHeight="1" x14ac:dyDescent="0.25"/>
  <cols>
    <col min="1" max="2" width="9.140625" customWidth="1"/>
    <col min="3" max="3" width="12.85546875" customWidth="1"/>
    <col min="4" max="4" width="18.140625" customWidth="1"/>
    <col min="5" max="5" width="18.28515625" customWidth="1"/>
    <col min="6" max="6" width="19.7109375" customWidth="1"/>
    <col min="7" max="7" width="15.42578125" customWidth="1"/>
    <col min="8" max="8" width="6" customWidth="1"/>
    <col min="9" max="16384" width="9.140625" hidden="1"/>
  </cols>
  <sheetData>
    <row r="1" spans="2:8" x14ac:dyDescent="0.25"/>
    <row r="2" spans="2:8" x14ac:dyDescent="0.25"/>
    <row r="3" spans="2:8" x14ac:dyDescent="0.25"/>
    <row r="4" spans="2:8" x14ac:dyDescent="0.25"/>
    <row r="5" spans="2:8" x14ac:dyDescent="0.25"/>
    <row r="6" spans="2:8" x14ac:dyDescent="0.25"/>
    <row r="7" spans="2:8" x14ac:dyDescent="0.25"/>
    <row r="8" spans="2:8" ht="6.75" customHeight="1" x14ac:dyDescent="0.25"/>
    <row r="9" spans="2:8" ht="6.75" customHeight="1" x14ac:dyDescent="0.25"/>
    <row r="10" spans="2:8" ht="0.75" customHeight="1" x14ac:dyDescent="0.25"/>
    <row r="11" spans="2:8" ht="15.75" thickBot="1" x14ac:dyDescent="0.3"/>
    <row r="12" spans="2:8" ht="26.25" customHeight="1" thickTop="1" x14ac:dyDescent="0.25">
      <c r="B12" s="1" t="s">
        <v>0</v>
      </c>
      <c r="C12" s="2"/>
      <c r="D12" s="2"/>
      <c r="E12" s="3"/>
      <c r="G12" s="4" t="s">
        <v>1</v>
      </c>
      <c r="H12" s="4"/>
    </row>
    <row r="13" spans="2:8" x14ac:dyDescent="0.25">
      <c r="B13" s="5" t="s">
        <v>2</v>
      </c>
      <c r="C13" s="6"/>
      <c r="D13" s="6"/>
      <c r="E13" s="35">
        <v>0</v>
      </c>
      <c r="G13" s="7">
        <v>4.4999999999999998E-2</v>
      </c>
      <c r="H13" s="8"/>
    </row>
    <row r="14" spans="2:8" x14ac:dyDescent="0.25">
      <c r="B14" s="9" t="s">
        <v>3</v>
      </c>
      <c r="C14" s="10"/>
      <c r="D14" s="11"/>
      <c r="E14" s="36">
        <v>500</v>
      </c>
    </row>
    <row r="15" spans="2:8" x14ac:dyDescent="0.25">
      <c r="B15" s="12" t="s">
        <v>4</v>
      </c>
      <c r="C15" s="13"/>
      <c r="D15" s="13"/>
      <c r="E15" s="37">
        <v>5</v>
      </c>
    </row>
    <row r="16" spans="2:8" x14ac:dyDescent="0.25">
      <c r="B16" s="12" t="s">
        <v>5</v>
      </c>
      <c r="C16" s="13"/>
      <c r="D16" s="13"/>
      <c r="E16" s="38">
        <v>1.0800000000000001E-2</v>
      </c>
    </row>
    <row r="17" spans="2:6" x14ac:dyDescent="0.25">
      <c r="B17" s="14" t="s">
        <v>6</v>
      </c>
      <c r="C17" s="15"/>
      <c r="D17" s="15"/>
      <c r="E17" s="16">
        <f>FV(rendimento_mensal,Anos*12,aporte_mensal*-1)+FV(rendimento_mensal,Anos*12,0,-patrimonio_inicial)</f>
        <v>41902.00967962922</v>
      </c>
    </row>
    <row r="18" spans="2:6" ht="15.75" thickBot="1" x14ac:dyDescent="0.3">
      <c r="B18" s="17" t="s">
        <v>7</v>
      </c>
      <c r="C18" s="18"/>
      <c r="D18" s="18"/>
      <c r="E18" s="39">
        <f>patrimonio_acumulado*rendimento_mensal</f>
        <v>452.54170453999558</v>
      </c>
      <c r="F18" s="19"/>
    </row>
    <row r="19" spans="2:6" ht="14.25" customHeight="1" thickTop="1" thickBot="1" x14ac:dyDescent="0.3"/>
    <row r="20" spans="2:6" ht="15.75" hidden="1" thickBot="1" x14ac:dyDescent="0.3"/>
    <row r="21" spans="2:6" ht="24.75" customHeight="1" thickTop="1" x14ac:dyDescent="0.25">
      <c r="B21" s="40" t="s">
        <v>8</v>
      </c>
      <c r="C21" s="41"/>
      <c r="D21" s="42" t="s">
        <v>9</v>
      </c>
      <c r="E21" s="42" t="s">
        <v>10</v>
      </c>
      <c r="F21" s="43" t="s">
        <v>16</v>
      </c>
    </row>
    <row r="22" spans="2:6" x14ac:dyDescent="0.25">
      <c r="B22" s="20" t="s">
        <v>11</v>
      </c>
      <c r="C22" s="21"/>
      <c r="D22" s="22">
        <f>FV(E16,2*12,E14*-1)+FV(E16,2*12,0,-E13)</f>
        <v>13615.431830290796</v>
      </c>
      <c r="E22" s="23">
        <f>D22*E$16</f>
        <v>147.04666376714061</v>
      </c>
      <c r="F22" s="24">
        <f>E22/(1+inflacao_media)^2</f>
        <v>134.65503424110312</v>
      </c>
    </row>
    <row r="23" spans="2:6" x14ac:dyDescent="0.25">
      <c r="B23" s="25" t="s">
        <v>12</v>
      </c>
      <c r="C23" s="26"/>
      <c r="D23" s="27">
        <f>FV(E16,5*12,E14*-1)+FV(E16,5*12,0,-E13)</f>
        <v>41902.00967962922</v>
      </c>
      <c r="E23" s="28">
        <f t="shared" ref="E23:E26" si="0">D23*E$16</f>
        <v>452.54170453999558</v>
      </c>
      <c r="F23" s="29">
        <f>E23/(1+inflacao_media)^5</f>
        <v>363.14256439332286</v>
      </c>
    </row>
    <row r="24" spans="2:6" x14ac:dyDescent="0.25">
      <c r="B24" s="25" t="s">
        <v>13</v>
      </c>
      <c r="C24" s="26"/>
      <c r="D24" s="27">
        <f>FV(E16,10*12,E14*-1)+FV(E16,10*12,0,-E13)</f>
        <v>121728.83312740005</v>
      </c>
      <c r="E24" s="28">
        <f t="shared" si="0"/>
        <v>1314.6713977759207</v>
      </c>
      <c r="F24" s="29">
        <f>E24/(1+inflacao_media)^10</f>
        <v>846.55330580104555</v>
      </c>
    </row>
    <row r="25" spans="2:6" x14ac:dyDescent="0.25">
      <c r="B25" s="25" t="s">
        <v>14</v>
      </c>
      <c r="C25" s="26"/>
      <c r="D25" s="27">
        <f>FV(E16,20*12,E14*-1)+FV(E16,20*12,0,-E13)</f>
        <v>563524.49664926168</v>
      </c>
      <c r="E25" s="28">
        <f t="shared" si="0"/>
        <v>6086.0645638120268</v>
      </c>
      <c r="F25" s="29">
        <f>E25/(1+inflacao_media)^20</f>
        <v>2523.5432149640324</v>
      </c>
    </row>
    <row r="26" spans="2:6" ht="15.75" thickBot="1" x14ac:dyDescent="0.3">
      <c r="B26" s="30" t="s">
        <v>15</v>
      </c>
      <c r="C26" s="31"/>
      <c r="D26" s="32">
        <f>FV(E16,30*12,E14*-1)+FV(E16,30*12,0,-E13)</f>
        <v>2166952.4051583759</v>
      </c>
      <c r="E26" s="33">
        <f t="shared" si="0"/>
        <v>23403.085975710459</v>
      </c>
      <c r="F26" s="34">
        <f>E26/(1+inflacao_media)^30</f>
        <v>6248.6243184264167</v>
      </c>
    </row>
    <row r="27" spans="2:6" ht="15.75" thickTop="1" x14ac:dyDescent="0.25"/>
    <row r="28" spans="2:6" x14ac:dyDescent="0.25"/>
  </sheetData>
  <mergeCells count="10">
    <mergeCell ref="B16:D16"/>
    <mergeCell ref="B17:D17"/>
    <mergeCell ref="B18:D18"/>
    <mergeCell ref="B21:C21"/>
    <mergeCell ref="B12:E12"/>
    <mergeCell ref="G12:H12"/>
    <mergeCell ref="B13:D13"/>
    <mergeCell ref="G13:H13"/>
    <mergeCell ref="B14:D14"/>
    <mergeCell ref="B15:D1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F68C-7386-443D-B4B7-529FFBA7863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Cade a grana</vt:lpstr>
      <vt:lpstr>Planilha1</vt:lpstr>
      <vt:lpstr>Anos</vt:lpstr>
      <vt:lpstr>aporte_mensal</vt:lpstr>
      <vt:lpstr>inflacao_media</vt:lpstr>
      <vt:lpstr>patrimonio_acumulado</vt:lpstr>
      <vt:lpstr>patrimonio_inicial</vt:lpstr>
      <vt:lpstr>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Amorim</dc:creator>
  <cp:lastModifiedBy>Marcos Amorim</cp:lastModifiedBy>
  <dcterms:created xsi:type="dcterms:W3CDTF">2026-10-08T18:37:05Z</dcterms:created>
  <dcterms:modified xsi:type="dcterms:W3CDTF">2026-10-08T21:12:10Z</dcterms:modified>
</cp:coreProperties>
</file>